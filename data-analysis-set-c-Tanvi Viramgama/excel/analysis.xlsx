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 tabRatio="500" activeTab="3"/>
  </bookViews>
  <sheets>
    <sheet name="Raw" sheetId="1" r:id="rId1"/>
    <sheet name="Lookup" sheetId="2" r:id="rId2"/>
    <sheet name="Clean" sheetId="3" r:id="rId3"/>
    <sheet name="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Author</author>
  </authors>
  <commentList>
    <comment ref="G1" authorId="0">
      <text>
        <r>
          <rPr>
            <sz val="10"/>
            <rFont val="Arial"/>
            <charset val="134"/>
          </rPr>
          <t>INDEX/MATCH lookup on course_id -&gt; Lookup!department (XLOOKUP equivalent).</t>
        </r>
      </text>
    </comment>
  </commentList>
</comments>
</file>

<file path=xl/sharedStrings.xml><?xml version="1.0" encoding="utf-8"?>
<sst xmlns="http://schemas.openxmlformats.org/spreadsheetml/2006/main" count="136" uniqueCount="47">
  <si>
    <t>assessment_id</t>
  </si>
  <si>
    <t>month</t>
  </si>
  <si>
    <t>course_id</t>
  </si>
  <si>
    <t>batch</t>
  </si>
  <si>
    <t>score</t>
  </si>
  <si>
    <t>attendance_pct</t>
  </si>
  <si>
    <t>Raw data pasted unchanged: 13 data rows</t>
  </si>
  <si>
    <t>Jan</t>
  </si>
  <si>
    <t>C1</t>
  </si>
  <si>
    <t>Morning</t>
  </si>
  <si>
    <t>C2</t>
  </si>
  <si>
    <t>Evening</t>
  </si>
  <si>
    <t>C3</t>
  </si>
  <si>
    <t>C4</t>
  </si>
  <si>
    <t>Weekend</t>
  </si>
  <si>
    <t>Feb</t>
  </si>
  <si>
    <t>Mar</t>
  </si>
  <si>
    <t>&lt;- exact duplicate of assessment_id 12 (removed in Clean)</t>
  </si>
  <si>
    <t>course</t>
  </si>
  <si>
    <t>department</t>
  </si>
  <si>
    <t>Excel</t>
  </si>
  <si>
    <t>Business</t>
  </si>
  <si>
    <t>PowerBI</t>
  </si>
  <si>
    <t>SQL</t>
  </si>
  <si>
    <t>Technology</t>
  </si>
  <si>
    <t>Python</t>
  </si>
  <si>
    <t>pass_flag</t>
  </si>
  <si>
    <t>Row-count check</t>
  </si>
  <si>
    <t>Before (Raw) rows</t>
  </si>
  <si>
    <t>After (Clean) rows</t>
  </si>
  <si>
    <t>Duplicates removed</t>
  </si>
  <si>
    <t>Set C - Training Performance: Summary</t>
  </si>
  <si>
    <t>Table 1 - Passing assessments by batch (COUNTIFS on Clean!pass_flag = 1)</t>
  </si>
  <si>
    <t>passing_assessments</t>
  </si>
  <si>
    <t>total_assessments</t>
  </si>
  <si>
    <t>pass_rate</t>
  </si>
  <si>
    <t>Total</t>
  </si>
  <si>
    <t>Table 2 - Average score: department (rows) x month (columns, Jan -&gt; Feb -&gt; Mar)</t>
  </si>
  <si>
    <t>Live AVERAGEIFS layout of the PivotTable. The native PivotTable (Insert &gt; PivotTable) is placed at A32 below.</t>
  </si>
  <si>
    <t>Cross-tool reconciliation values (Excel side)</t>
  </si>
  <si>
    <t>metric</t>
  </si>
  <si>
    <t>value</t>
  </si>
  <si>
    <t>Technology avg score</t>
  </si>
  <si>
    <t>Business avg score</t>
  </si>
  <si>
    <t>Overall pass rate</t>
  </si>
  <si>
    <t>Table 3 - Native PivotTable (average score by department x month)</t>
  </si>
  <si>
    <t>Insert it here: select Clean!A1:H13 &gt; Insert &gt; PivotTable &gt; Existing worksheet Summary!A32. Rows: department | Columns: month | Values: Average of score.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</si>
</sst>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29">
    <font>
      <sz val="11"/>
      <color theme="1"/>
      <name val="Calibri"/>
      <charset val="1"/>
    </font>
    <font>
      <b/>
      <sz val="14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sz val="11"/>
      <color theme="1"/>
      <name val="Arial"/>
      <charset val="1"/>
    </font>
    <font>
      <i/>
      <sz val="10"/>
      <color rgb="FF7F7F7F"/>
      <name val="Arial"/>
      <charset val="1"/>
    </font>
    <font>
      <i/>
      <sz val="10"/>
      <color rgb="FFC0000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F8CBAD"/>
        <bgColor rgb="FFD9D9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Border="0" applyAlignment="0" applyProtection="0"/>
    <xf numFmtId="177" fontId="7" fillId="0" borderId="0" applyBorder="0" applyAlignment="0" applyProtection="0"/>
    <xf numFmtId="9" fontId="7" fillId="0" borderId="0" applyBorder="0" applyAlignment="0" applyProtection="0"/>
    <xf numFmtId="178" fontId="7" fillId="0" borderId="0" applyBorder="0" applyAlignment="0" applyProtection="0"/>
    <xf numFmtId="179" fontId="7" fillId="0" borderId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0" borderId="1" xfId="0" applyFont="1" applyBorder="1"/>
    <xf numFmtId="10" fontId="4" fillId="0" borderId="1" xfId="0" applyNumberFormat="1" applyFont="1" applyBorder="1"/>
    <xf numFmtId="0" fontId="2" fillId="0" borderId="1" xfId="0" applyFont="1" applyBorder="1"/>
    <xf numFmtId="10" fontId="2" fillId="0" borderId="1" xfId="0" applyNumberFormat="1" applyFont="1" applyBorder="1"/>
    <xf numFmtId="2" fontId="4" fillId="0" borderId="1" xfId="0" applyNumberFormat="1" applyFont="1" applyBorder="1"/>
    <xf numFmtId="0" fontId="5" fillId="0" borderId="0" xfId="0" applyFont="1"/>
    <xf numFmtId="0" fontId="6" fillId="0" borderId="0" xfId="0" applyFont="1"/>
    <xf numFmtId="0" fontId="4" fillId="3" borderId="1" xfId="0" applyFont="1" applyFill="1" applyBorder="1"/>
    <xf numFmtId="0" fontId="4" fillId="4" borderId="1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7F7F7F"/>
      <rgbColor rgb="009999FF"/>
      <rgbColor rgb="00C0504D"/>
      <rgbColor rgb="00FFF2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8CBAD"/>
      <rgbColor rgb="003366FF"/>
      <rgbColor rgb="0033CCCC"/>
      <rgbColor rgb="009BBB59"/>
      <rgbColor rgb="00FFCC00"/>
      <rgbColor rgb="00FF9900"/>
      <rgbColor rgb="00FF6600"/>
      <rgbColor rgb="004F81BD"/>
      <rgbColor rgb="00878787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Average Score by Department and Month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Summary!$A$13:$A$14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Summary!$B$13:$B$14</c:f>
              <c:numCache>
                <c:formatCode>0.00</c:formatCode>
                <c:ptCount val="2"/>
                <c:pt idx="0">
                  <c:v>58.5</c:v>
                </c:pt>
                <c:pt idx="1">
                  <c:v>51.5</c:v>
                </c:pt>
              </c:numCache>
            </c:numRef>
          </c:val>
        </c:ser>
        <c:ser>
          <c:idx val="1"/>
          <c:order val="1"/>
          <c:tx>
            <c:strRef>
              <c:f>Summary!$C$12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Summary!$A$13:$A$14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Summary!$C$13:$C$14</c:f>
              <c:numCache>
                <c:formatCode>0.00</c:formatCode>
                <c:ptCount val="2"/>
                <c:pt idx="0">
                  <c:v>67.5</c:v>
                </c:pt>
                <c:pt idx="1">
                  <c:v>58</c:v>
                </c:pt>
              </c:numCache>
            </c:numRef>
          </c:val>
        </c:ser>
        <c:ser>
          <c:idx val="2"/>
          <c:order val="2"/>
          <c:tx>
            <c:strRef>
              <c:f>Summary!$D$12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Summary!$A$13:$A$14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Summary!$D$13:$D$14</c:f>
              <c:numCache>
                <c:formatCode>0.00</c:formatCode>
                <c:ptCount val="2"/>
                <c:pt idx="0">
                  <c:v>75</c:v>
                </c:pt>
                <c:pt idx="1">
                  <c:v>58.5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40016198"/>
        <c:axId val="56662228"/>
      </c:barChart>
      <c:catAx>
        <c:axId val="4001619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Department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56662228"/>
        <c:crosses val="autoZero"/>
        <c:auto val="1"/>
        <c:lblAlgn val="ctr"/>
        <c:lblOffset val="100"/>
        <c:noMultiLvlLbl val="0"/>
      </c:catAx>
      <c:valAx>
        <c:axId val="56662228"/>
        <c:scaling>
          <c:orientation val="minMax"/>
          <c:max val="100"/>
          <c:min val="0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Average Score (0-100)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400161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7f660f8-d15e-4a79-a1f4-3ec379865939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1</xdr:row>
      <xdr:rowOff>160560</xdr:rowOff>
    </xdr:from>
    <xdr:to>
      <xdr:col>15</xdr:col>
      <xdr:colOff>255960</xdr:colOff>
      <xdr:row>17</xdr:row>
      <xdr:rowOff>172080</xdr:rowOff>
    </xdr:to>
    <xdr:graphicFrame>
      <xdr:nvGraphicFramePr>
        <xdr:cNvPr id="2" name="Chart 1"/>
        <xdr:cNvGraphicFramePr/>
      </xdr:nvGraphicFramePr>
      <xdr:xfrm>
        <a:off x="5486400" y="381000"/>
        <a:ext cx="5610860" cy="29375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pane ySplit="1" topLeftCell="A2" activePane="bottomLeft" state="frozen"/>
      <selection/>
      <selection pane="bottomLeft" activeCell="B27" sqref="B27"/>
    </sheetView>
  </sheetViews>
  <sheetFormatPr defaultColWidth="8.67592592592593" defaultRowHeight="14.4" outlineLevelCol="7"/>
  <cols>
    <col min="1" max="1" width="14" customWidth="1"/>
    <col min="2" max="2" width="8" customWidth="1"/>
    <col min="3" max="4" width="10" customWidth="1"/>
    <col min="5" max="5" width="8" customWidth="1"/>
    <col min="6" max="6" width="16" customWidth="1"/>
    <col min="7" max="7" width="4" customWidth="1"/>
    <col min="8" max="8" width="50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H1" s="2" t="s">
        <v>6</v>
      </c>
    </row>
    <row r="2" spans="1:8">
      <c r="A2" s="4">
        <v>1</v>
      </c>
      <c r="B2" s="4" t="s">
        <v>7</v>
      </c>
      <c r="C2" s="4" t="s">
        <v>8</v>
      </c>
      <c r="D2" s="4" t="s">
        <v>9</v>
      </c>
      <c r="E2" s="4">
        <v>72</v>
      </c>
      <c r="F2" s="4">
        <v>90</v>
      </c>
    </row>
    <row r="3" spans="1:8">
      <c r="A3" s="4">
        <v>2</v>
      </c>
      <c r="B3" s="4" t="s">
        <v>7</v>
      </c>
      <c r="C3" s="4" t="s">
        <v>10</v>
      </c>
      <c r="D3" s="4" t="s">
        <v>11</v>
      </c>
      <c r="E3" s="4">
        <v>45</v>
      </c>
      <c r="F3" s="4">
        <v>70</v>
      </c>
    </row>
    <row r="4" spans="1:8">
      <c r="A4" s="4">
        <v>3</v>
      </c>
      <c r="B4" s="4" t="s">
        <v>7</v>
      </c>
      <c r="C4" s="4" t="s">
        <v>12</v>
      </c>
      <c r="D4" s="4" t="s">
        <v>9</v>
      </c>
      <c r="E4" s="4">
        <v>65</v>
      </c>
      <c r="F4" s="4">
        <v>85</v>
      </c>
    </row>
    <row r="5" spans="1:8">
      <c r="A5" s="4">
        <v>4</v>
      </c>
      <c r="B5" s="4" t="s">
        <v>7</v>
      </c>
      <c r="C5" s="4" t="s">
        <v>13</v>
      </c>
      <c r="D5" s="4" t="s">
        <v>14</v>
      </c>
      <c r="E5" s="4">
        <v>38</v>
      </c>
      <c r="F5" s="4">
        <v>60</v>
      </c>
    </row>
    <row r="6" spans="1:8">
      <c r="A6" s="4">
        <v>5</v>
      </c>
      <c r="B6" s="4" t="s">
        <v>15</v>
      </c>
      <c r="C6" s="4" t="s">
        <v>8</v>
      </c>
      <c r="D6" s="4" t="s">
        <v>11</v>
      </c>
      <c r="E6" s="4">
        <v>80</v>
      </c>
      <c r="F6" s="4">
        <v>95</v>
      </c>
    </row>
    <row r="7" spans="1:8">
      <c r="A7" s="4">
        <v>6</v>
      </c>
      <c r="B7" s="4" t="s">
        <v>15</v>
      </c>
      <c r="C7" s="4" t="s">
        <v>10</v>
      </c>
      <c r="D7" s="4" t="s">
        <v>14</v>
      </c>
      <c r="E7" s="4">
        <v>55</v>
      </c>
      <c r="F7" s="4">
        <v>80</v>
      </c>
    </row>
    <row r="8" spans="1:8">
      <c r="A8" s="4">
        <v>7</v>
      </c>
      <c r="B8" s="4" t="s">
        <v>15</v>
      </c>
      <c r="C8" s="4" t="s">
        <v>12</v>
      </c>
      <c r="D8" s="4" t="s">
        <v>9</v>
      </c>
      <c r="E8" s="4">
        <v>48</v>
      </c>
      <c r="F8" s="4">
        <v>75</v>
      </c>
    </row>
    <row r="9" spans="1:8">
      <c r="A9" s="4">
        <v>8</v>
      </c>
      <c r="B9" s="4" t="s">
        <v>15</v>
      </c>
      <c r="C9" s="4" t="s">
        <v>13</v>
      </c>
      <c r="D9" s="4" t="s">
        <v>11</v>
      </c>
      <c r="E9" s="4">
        <v>68</v>
      </c>
      <c r="F9" s="4">
        <v>88</v>
      </c>
    </row>
    <row r="10" spans="1:8">
      <c r="A10" s="4">
        <v>9</v>
      </c>
      <c r="B10" s="4" t="s">
        <v>16</v>
      </c>
      <c r="C10" s="4" t="s">
        <v>8</v>
      </c>
      <c r="D10" s="4" t="s">
        <v>14</v>
      </c>
      <c r="E10" s="4">
        <v>90</v>
      </c>
      <c r="F10" s="4">
        <v>98</v>
      </c>
    </row>
    <row r="11" spans="1:8">
      <c r="A11" s="4">
        <v>10</v>
      </c>
      <c r="B11" s="4" t="s">
        <v>16</v>
      </c>
      <c r="C11" s="4" t="s">
        <v>10</v>
      </c>
      <c r="D11" s="4" t="s">
        <v>9</v>
      </c>
      <c r="E11" s="4">
        <v>60</v>
      </c>
      <c r="F11" s="4">
        <v>82</v>
      </c>
    </row>
    <row r="12" spans="1:8">
      <c r="A12" s="4">
        <v>11</v>
      </c>
      <c r="B12" s="4" t="s">
        <v>16</v>
      </c>
      <c r="C12" s="4" t="s">
        <v>12</v>
      </c>
      <c r="D12" s="4" t="s">
        <v>11</v>
      </c>
      <c r="E12" s="4">
        <v>75</v>
      </c>
      <c r="F12" s="4">
        <v>92</v>
      </c>
    </row>
    <row r="13" spans="1:8">
      <c r="A13" s="4">
        <v>12</v>
      </c>
      <c r="B13" s="4" t="s">
        <v>16</v>
      </c>
      <c r="C13" s="4" t="s">
        <v>13</v>
      </c>
      <c r="D13" s="4" t="s">
        <v>14</v>
      </c>
      <c r="E13" s="4">
        <v>42</v>
      </c>
      <c r="F13" s="4">
        <v>65</v>
      </c>
    </row>
    <row r="14" spans="1:8">
      <c r="A14" s="12">
        <v>12</v>
      </c>
      <c r="B14" s="12" t="s">
        <v>16</v>
      </c>
      <c r="C14" s="12" t="s">
        <v>13</v>
      </c>
      <c r="D14" s="12" t="s">
        <v>14</v>
      </c>
      <c r="E14" s="12">
        <v>42</v>
      </c>
      <c r="F14" s="12">
        <v>65</v>
      </c>
      <c r="H14" s="10" t="s">
        <v>17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7592592592593" defaultRowHeight="14.4" outlineLevelRow="4" outlineLevelCol="2"/>
  <cols>
    <col min="1" max="2" width="10" customWidth="1"/>
    <col min="3" max="3" width="12" customWidth="1"/>
  </cols>
  <sheetData>
    <row r="1" spans="1:3">
      <c r="A1" s="3" t="s">
        <v>2</v>
      </c>
      <c r="B1" s="3" t="s">
        <v>18</v>
      </c>
      <c r="C1" s="3" t="s">
        <v>19</v>
      </c>
    </row>
    <row r="2" spans="1:3">
      <c r="A2" s="4" t="s">
        <v>8</v>
      </c>
      <c r="B2" s="4" t="s">
        <v>20</v>
      </c>
      <c r="C2" s="4" t="s">
        <v>21</v>
      </c>
    </row>
    <row r="3" spans="1:3">
      <c r="A3" s="4" t="s">
        <v>10</v>
      </c>
      <c r="B3" s="4" t="s">
        <v>22</v>
      </c>
      <c r="C3" s="4" t="s">
        <v>21</v>
      </c>
    </row>
    <row r="4" spans="1:3">
      <c r="A4" s="4" t="s">
        <v>12</v>
      </c>
      <c r="B4" s="4" t="s">
        <v>23</v>
      </c>
      <c r="C4" s="4" t="s">
        <v>24</v>
      </c>
    </row>
    <row r="5" spans="1:3">
      <c r="A5" s="4" t="s">
        <v>13</v>
      </c>
      <c r="B5" s="4" t="s">
        <v>25</v>
      </c>
      <c r="C5" s="4" t="s">
        <v>24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7592592592593" defaultRowHeight="14.4"/>
  <cols>
    <col min="1" max="1" width="14" customWidth="1"/>
    <col min="2" max="2" width="8" customWidth="1"/>
    <col min="3" max="4" width="10" customWidth="1"/>
    <col min="5" max="5" width="8" customWidth="1"/>
    <col min="6" max="6" width="16" customWidth="1"/>
    <col min="7" max="7" width="12" customWidth="1"/>
    <col min="8" max="8" width="10" customWidth="1"/>
    <col min="9" max="9" width="3" customWidth="1"/>
    <col min="10" max="10" width="22" customWidth="1"/>
    <col min="11" max="11" width="8" customWidth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19</v>
      </c>
      <c r="H1" s="3" t="s">
        <v>26</v>
      </c>
      <c r="J1" s="2" t="s">
        <v>27</v>
      </c>
    </row>
    <row r="2" spans="1:11">
      <c r="A2" s="4">
        <v>1</v>
      </c>
      <c r="B2" s="4" t="s">
        <v>7</v>
      </c>
      <c r="C2" s="4" t="s">
        <v>8</v>
      </c>
      <c r="D2" s="4" t="s">
        <v>9</v>
      </c>
      <c r="E2" s="4">
        <v>72</v>
      </c>
      <c r="F2" s="4">
        <v>90</v>
      </c>
      <c r="G2" s="4" t="str">
        <f>INDEX(Lookup!$C$2:$C$5,MATCH(C2,Lookup!$A$2:$A$5,0))</f>
        <v>Business</v>
      </c>
      <c r="H2" s="4">
        <f t="shared" ref="H2:H13" si="0">IF(E2&gt;=50,1,0)</f>
        <v>1</v>
      </c>
      <c r="J2" s="11" t="s">
        <v>28</v>
      </c>
      <c r="K2" s="4">
        <f>COUNTA(Raw!A2:A14)</f>
        <v>13</v>
      </c>
    </row>
    <row r="3" spans="1:11">
      <c r="A3" s="4">
        <v>2</v>
      </c>
      <c r="B3" s="4" t="s">
        <v>7</v>
      </c>
      <c r="C3" s="4" t="s">
        <v>10</v>
      </c>
      <c r="D3" s="4" t="s">
        <v>11</v>
      </c>
      <c r="E3" s="4">
        <v>45</v>
      </c>
      <c r="F3" s="4">
        <v>70</v>
      </c>
      <c r="G3" s="4" t="str">
        <f>INDEX(Lookup!$C$2:$C$5,MATCH(C3,Lookup!$A$2:$A$5,0))</f>
        <v>Business</v>
      </c>
      <c r="H3" s="4">
        <f t="shared" si="0"/>
        <v>0</v>
      </c>
      <c r="J3" s="11" t="s">
        <v>29</v>
      </c>
      <c r="K3" s="4">
        <f>COUNTA(A2:A13)</f>
        <v>12</v>
      </c>
    </row>
    <row r="4" spans="1:11">
      <c r="A4" s="4">
        <v>3</v>
      </c>
      <c r="B4" s="4" t="s">
        <v>7</v>
      </c>
      <c r="C4" s="4" t="s">
        <v>12</v>
      </c>
      <c r="D4" s="4" t="s">
        <v>9</v>
      </c>
      <c r="E4" s="4">
        <v>65</v>
      </c>
      <c r="F4" s="4">
        <v>85</v>
      </c>
      <c r="G4" s="4" t="str">
        <f>INDEX(Lookup!$C$2:$C$5,MATCH(C4,Lookup!$A$2:$A$5,0))</f>
        <v>Technology</v>
      </c>
      <c r="H4" s="4">
        <f t="shared" si="0"/>
        <v>1</v>
      </c>
      <c r="J4" s="11" t="s">
        <v>30</v>
      </c>
      <c r="K4" s="4">
        <f>K2-K3</f>
        <v>1</v>
      </c>
    </row>
    <row r="5" spans="1:11">
      <c r="A5" s="4">
        <v>4</v>
      </c>
      <c r="B5" s="4" t="s">
        <v>7</v>
      </c>
      <c r="C5" s="4" t="s">
        <v>13</v>
      </c>
      <c r="D5" s="4" t="s">
        <v>14</v>
      </c>
      <c r="E5" s="4">
        <v>38</v>
      </c>
      <c r="F5" s="4">
        <v>60</v>
      </c>
      <c r="G5" s="4" t="str">
        <f>INDEX(Lookup!$C$2:$C$5,MATCH(C5,Lookup!$A$2:$A$5,0))</f>
        <v>Technology</v>
      </c>
      <c r="H5" s="4">
        <f t="shared" si="0"/>
        <v>0</v>
      </c>
    </row>
    <row r="6" spans="1:11">
      <c r="A6" s="4">
        <v>5</v>
      </c>
      <c r="B6" s="4" t="s">
        <v>15</v>
      </c>
      <c r="C6" s="4" t="s">
        <v>8</v>
      </c>
      <c r="D6" s="4" t="s">
        <v>11</v>
      </c>
      <c r="E6" s="4">
        <v>80</v>
      </c>
      <c r="F6" s="4">
        <v>95</v>
      </c>
      <c r="G6" s="4" t="str">
        <f>INDEX(Lookup!$C$2:$C$5,MATCH(C6,Lookup!$A$2:$A$5,0))</f>
        <v>Business</v>
      </c>
      <c r="H6" s="4">
        <f t="shared" si="0"/>
        <v>1</v>
      </c>
    </row>
    <row r="7" spans="1:11">
      <c r="A7" s="4">
        <v>6</v>
      </c>
      <c r="B7" s="4" t="s">
        <v>15</v>
      </c>
      <c r="C7" s="4" t="s">
        <v>10</v>
      </c>
      <c r="D7" s="4" t="s">
        <v>14</v>
      </c>
      <c r="E7" s="4">
        <v>55</v>
      </c>
      <c r="F7" s="4">
        <v>80</v>
      </c>
      <c r="G7" s="4" t="str">
        <f>INDEX(Lookup!$C$2:$C$5,MATCH(C7,Lookup!$A$2:$A$5,0))</f>
        <v>Business</v>
      </c>
      <c r="H7" s="4">
        <f t="shared" si="0"/>
        <v>1</v>
      </c>
    </row>
    <row r="8" spans="1:11">
      <c r="A8" s="4">
        <v>7</v>
      </c>
      <c r="B8" s="4" t="s">
        <v>15</v>
      </c>
      <c r="C8" s="4" t="s">
        <v>12</v>
      </c>
      <c r="D8" s="4" t="s">
        <v>9</v>
      </c>
      <c r="E8" s="4">
        <v>48</v>
      </c>
      <c r="F8" s="4">
        <v>75</v>
      </c>
      <c r="G8" s="4" t="str">
        <f>INDEX(Lookup!$C$2:$C$5,MATCH(C8,Lookup!$A$2:$A$5,0))</f>
        <v>Technology</v>
      </c>
      <c r="H8" s="4">
        <f t="shared" si="0"/>
        <v>0</v>
      </c>
    </row>
    <row r="9" spans="1:11">
      <c r="A9" s="4">
        <v>8</v>
      </c>
      <c r="B9" s="4" t="s">
        <v>15</v>
      </c>
      <c r="C9" s="4" t="s">
        <v>13</v>
      </c>
      <c r="D9" s="4" t="s">
        <v>11</v>
      </c>
      <c r="E9" s="4">
        <v>68</v>
      </c>
      <c r="F9" s="4">
        <v>88</v>
      </c>
      <c r="G9" s="4" t="str">
        <f>INDEX(Lookup!$C$2:$C$5,MATCH(C9,Lookup!$A$2:$A$5,0))</f>
        <v>Technology</v>
      </c>
      <c r="H9" s="4">
        <f t="shared" si="0"/>
        <v>1</v>
      </c>
    </row>
    <row r="10" spans="1:11">
      <c r="A10" s="4">
        <v>9</v>
      </c>
      <c r="B10" s="4" t="s">
        <v>16</v>
      </c>
      <c r="C10" s="4" t="s">
        <v>8</v>
      </c>
      <c r="D10" s="4" t="s">
        <v>14</v>
      </c>
      <c r="E10" s="4">
        <v>90</v>
      </c>
      <c r="F10" s="4">
        <v>98</v>
      </c>
      <c r="G10" s="4" t="str">
        <f>INDEX(Lookup!$C$2:$C$5,MATCH(C10,Lookup!$A$2:$A$5,0))</f>
        <v>Business</v>
      </c>
      <c r="H10" s="4">
        <f t="shared" si="0"/>
        <v>1</v>
      </c>
    </row>
    <row r="11" spans="1:11">
      <c r="A11" s="4">
        <v>10</v>
      </c>
      <c r="B11" s="4" t="s">
        <v>16</v>
      </c>
      <c r="C11" s="4" t="s">
        <v>10</v>
      </c>
      <c r="D11" s="4" t="s">
        <v>9</v>
      </c>
      <c r="E11" s="4">
        <v>60</v>
      </c>
      <c r="F11" s="4">
        <v>82</v>
      </c>
      <c r="G11" s="4" t="str">
        <f>INDEX(Lookup!$C$2:$C$5,MATCH(C11,Lookup!$A$2:$A$5,0))</f>
        <v>Business</v>
      </c>
      <c r="H11" s="4">
        <f t="shared" si="0"/>
        <v>1</v>
      </c>
    </row>
    <row r="12" spans="1:11">
      <c r="A12" s="4">
        <v>11</v>
      </c>
      <c r="B12" s="4" t="s">
        <v>16</v>
      </c>
      <c r="C12" s="4" t="s">
        <v>12</v>
      </c>
      <c r="D12" s="4" t="s">
        <v>11</v>
      </c>
      <c r="E12" s="4">
        <v>75</v>
      </c>
      <c r="F12" s="4">
        <v>92</v>
      </c>
      <c r="G12" s="4" t="str">
        <f>INDEX(Lookup!$C$2:$C$5,MATCH(C12,Lookup!$A$2:$A$5,0))</f>
        <v>Technology</v>
      </c>
      <c r="H12" s="4">
        <f t="shared" si="0"/>
        <v>1</v>
      </c>
    </row>
    <row r="13" spans="1:11">
      <c r="A13" s="4">
        <v>12</v>
      </c>
      <c r="B13" s="4" t="s">
        <v>16</v>
      </c>
      <c r="C13" s="4" t="s">
        <v>13</v>
      </c>
      <c r="D13" s="4" t="s">
        <v>14</v>
      </c>
      <c r="E13" s="4">
        <v>42</v>
      </c>
      <c r="F13" s="4">
        <v>65</v>
      </c>
      <c r="G13" s="4" t="str">
        <f>INDEX(Lookup!$C$2:$C$5,MATCH(C13,Lookup!$A$2:$A$5,0))</f>
        <v>Technology</v>
      </c>
      <c r="H13" s="4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workbookViewId="0">
      <selection activeCell="A1" sqref="A1"/>
    </sheetView>
  </sheetViews>
  <sheetFormatPr defaultColWidth="8.67592592592593" defaultRowHeight="14.4" outlineLevelCol="3"/>
  <cols>
    <col min="1" max="1" width="24" customWidth="1"/>
    <col min="2" max="2" width="20" customWidth="1"/>
    <col min="3" max="3" width="18" customWidth="1"/>
    <col min="4" max="4" width="12" customWidth="1"/>
    <col min="5" max="6" width="3" customWidth="1"/>
  </cols>
  <sheetData>
    <row r="1" ht="17.4" spans="1:4">
      <c r="A1" s="1" t="s">
        <v>31</v>
      </c>
    </row>
    <row r="3" spans="1:4">
      <c r="A3" s="2" t="s">
        <v>32</v>
      </c>
    </row>
    <row r="4" spans="1:4">
      <c r="A4" s="3" t="s">
        <v>3</v>
      </c>
      <c r="B4" s="3" t="s">
        <v>33</v>
      </c>
      <c r="C4" s="3" t="s">
        <v>34</v>
      </c>
      <c r="D4" s="3" t="s">
        <v>35</v>
      </c>
    </row>
    <row r="5" spans="1:4">
      <c r="A5" s="4" t="s">
        <v>9</v>
      </c>
      <c r="B5" s="4">
        <f>COUNTIFS(Clean!$D$2:$D$13,A5,Clean!$H$2:$H$13,1)</f>
        <v>3</v>
      </c>
      <c r="C5" s="4">
        <f>COUNTIFS(Clean!$D$2:$D$13,A5)</f>
        <v>4</v>
      </c>
      <c r="D5" s="5">
        <f>IF(C5=0,0,B5/C5)</f>
        <v>0.75</v>
      </c>
    </row>
    <row r="6" spans="1:4">
      <c r="A6" s="4" t="s">
        <v>11</v>
      </c>
      <c r="B6" s="4">
        <f>COUNTIFS(Clean!$D$2:$D$13,A6,Clean!$H$2:$H$13,1)</f>
        <v>3</v>
      </c>
      <c r="C6" s="4">
        <f>COUNTIFS(Clean!$D$2:$D$13,A6)</f>
        <v>4</v>
      </c>
      <c r="D6" s="5">
        <f>IF(C6=0,0,B6/C6)</f>
        <v>0.75</v>
      </c>
    </row>
    <row r="7" spans="1:4">
      <c r="A7" s="4" t="s">
        <v>14</v>
      </c>
      <c r="B7" s="4">
        <f>COUNTIFS(Clean!$D$2:$D$13,A7,Clean!$H$2:$H$13,1)</f>
        <v>2</v>
      </c>
      <c r="C7" s="4">
        <f>COUNTIFS(Clean!$D$2:$D$13,A7)</f>
        <v>4</v>
      </c>
      <c r="D7" s="5">
        <f>IF(C7=0,0,B7/C7)</f>
        <v>0.5</v>
      </c>
    </row>
    <row r="8" spans="1:4">
      <c r="A8" s="6" t="s">
        <v>36</v>
      </c>
      <c r="B8" s="6">
        <f>SUM(B5:B7)</f>
        <v>8</v>
      </c>
      <c r="C8" s="6">
        <f>SUM(C5:C7)</f>
        <v>12</v>
      </c>
      <c r="D8" s="7">
        <f>IF(C8=0,0,B8/C8)</f>
        <v>0.666666666666667</v>
      </c>
    </row>
    <row r="11" spans="1:4">
      <c r="A11" s="2" t="s">
        <v>37</v>
      </c>
    </row>
    <row r="12" spans="1:4">
      <c r="A12" s="3" t="s">
        <v>19</v>
      </c>
      <c r="B12" s="3" t="s">
        <v>7</v>
      </c>
      <c r="C12" s="3" t="s">
        <v>15</v>
      </c>
      <c r="D12" s="3" t="s">
        <v>16</v>
      </c>
    </row>
    <row r="13" spans="1:4">
      <c r="A13" s="4" t="s">
        <v>21</v>
      </c>
      <c r="B13" s="8">
        <f>AVERAGEIFS(Clean!$E$2:$E$13,Clean!$G$2:$G$13,$A13,Clean!$B$2:$B$13,B$12)</f>
        <v>58.5</v>
      </c>
      <c r="C13" s="8">
        <f>AVERAGEIFS(Clean!$E$2:$E$13,Clean!$G$2:$G$13,$A13,Clean!$B$2:$B$13,C$12)</f>
        <v>67.5</v>
      </c>
      <c r="D13" s="8">
        <f>AVERAGEIFS(Clean!$E$2:$E$13,Clean!$G$2:$G$13,$A13,Clean!$B$2:$B$13,D$12)</f>
        <v>75</v>
      </c>
    </row>
    <row r="14" spans="1:4">
      <c r="A14" s="4" t="s">
        <v>24</v>
      </c>
      <c r="B14" s="8">
        <f>AVERAGEIFS(Clean!$E$2:$E$13,Clean!$G$2:$G$13,$A14,Clean!$B$2:$B$13,B$12)</f>
        <v>51.5</v>
      </c>
      <c r="C14" s="8">
        <f>AVERAGEIFS(Clean!$E$2:$E$13,Clean!$G$2:$G$13,$A14,Clean!$B$2:$B$13,C$12)</f>
        <v>58</v>
      </c>
      <c r="D14" s="8">
        <f>AVERAGEIFS(Clean!$E$2:$E$13,Clean!$G$2:$G$13,$A14,Clean!$B$2:$B$13,D$12)</f>
        <v>58.5</v>
      </c>
    </row>
    <row r="15" spans="1:4">
      <c r="A15" s="9" t="s">
        <v>38</v>
      </c>
    </row>
    <row r="18" spans="1:2">
      <c r="A18" s="2" t="s">
        <v>39</v>
      </c>
    </row>
    <row r="19" spans="1:2">
      <c r="A19" s="3" t="s">
        <v>40</v>
      </c>
      <c r="B19" s="3" t="s">
        <v>41</v>
      </c>
    </row>
    <row r="20" spans="1:2">
      <c r="A20" s="4" t="s">
        <v>42</v>
      </c>
      <c r="B20" s="8">
        <f>AVERAGEIFS(Clean!$E$2:$E$13,Clean!$G$2:$G$13,"Technology")</f>
        <v>56</v>
      </c>
    </row>
    <row r="21" spans="1:2">
      <c r="A21" s="4" t="s">
        <v>43</v>
      </c>
      <c r="B21" s="8">
        <f>AVERAGEIFS(Clean!$E$2:$E$13,Clean!$G$2:$G$13,"Business")</f>
        <v>67</v>
      </c>
    </row>
    <row r="22" spans="1:2">
      <c r="A22" s="4" t="s">
        <v>44</v>
      </c>
      <c r="B22" s="5">
        <f>SUM(Clean!$H$2:$H$13)/COUNT(Clean!$H$2:$H$13)</f>
        <v>0.666666666666667</v>
      </c>
    </row>
    <row r="30" spans="1:2">
      <c r="A30" s="2" t="s">
        <v>45</v>
      </c>
    </row>
    <row r="31" spans="1:2">
      <c r="A31" s="10" t="s">
        <v>46</v>
      </c>
    </row>
  </sheetData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Raw</vt:lpstr>
      <vt:lpstr>Lookup</vt:lpstr>
      <vt:lpstr>Clean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Tanvi</cp:lastModifiedBy>
  <cp:revision>1</cp:revision>
  <dcterms:created xsi:type="dcterms:W3CDTF">2026-10-03T04:10:00Z</dcterms:created>
  <dcterms:modified xsi:type="dcterms:W3CDTF">2026-10-03T06:43:46Z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94FD17343B6B4B6B897927C6FB32C8B2_12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